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entin\Documents\Travail\INSA_CVL\Cours\5A\SOC\"/>
    </mc:Choice>
  </mc:AlternateContent>
  <xr:revisionPtr revIDLastSave="0" documentId="13_ncr:1_{EC651402-A005-4520-A7AE-06F7A81DC449}" xr6:coauthVersionLast="47" xr6:coauthVersionMax="47" xr10:uidLastSave="{00000000-0000-0000-0000-000000000000}"/>
  <bookViews>
    <workbookView xWindow="10440" yWindow="0" windowWidth="10050" windowHeight="10920" firstSheet="1" activeTab="1" xr2:uid="{776C0FB6-5E0E-4646-A11E-974F8391820C}"/>
  </bookViews>
  <sheets>
    <sheet name="Matrice_criticite" sheetId="1" r:id="rId1"/>
    <sheet name="Lexiq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E6" i="1" s="1"/>
  <c r="D7" i="1"/>
  <c r="E7" i="1" s="1"/>
  <c r="D8" i="1"/>
  <c r="E8" i="1" s="1"/>
  <c r="D9" i="1"/>
  <c r="F9" i="1" s="1"/>
  <c r="D10" i="1"/>
  <c r="E10" i="1" s="1"/>
  <c r="D11" i="1"/>
  <c r="E11" i="1" s="1"/>
  <c r="D12" i="1"/>
  <c r="E12" i="1" s="1"/>
  <c r="D13" i="1"/>
  <c r="F13" i="1" s="1"/>
  <c r="D14" i="1"/>
  <c r="E14" i="1" s="1"/>
  <c r="D15" i="1"/>
  <c r="E15" i="1" s="1"/>
  <c r="D16" i="1"/>
  <c r="E16" i="1" s="1"/>
  <c r="D17" i="1"/>
  <c r="F17" i="1" s="1"/>
  <c r="D18" i="1"/>
  <c r="E18" i="1" s="1"/>
  <c r="D19" i="1"/>
  <c r="E19" i="1" s="1"/>
  <c r="D20" i="1"/>
  <c r="E20" i="1" s="1"/>
  <c r="D21" i="1"/>
  <c r="F21" i="1" s="1"/>
  <c r="D22" i="1"/>
  <c r="E22" i="1" s="1"/>
  <c r="D23" i="1"/>
  <c r="E23" i="1" s="1"/>
  <c r="D24" i="1"/>
  <c r="E24" i="1" s="1"/>
  <c r="D25" i="1"/>
  <c r="F25" i="1" s="1"/>
  <c r="D26" i="1"/>
  <c r="E26" i="1" s="1"/>
  <c r="D27" i="1"/>
  <c r="E27" i="1" s="1"/>
  <c r="D28" i="1"/>
  <c r="F28" i="1" s="1"/>
  <c r="D29" i="1"/>
  <c r="F29" i="1" s="1"/>
  <c r="D30" i="1"/>
  <c r="E30" i="1" s="1"/>
  <c r="D31" i="1"/>
  <c r="E31" i="1" s="1"/>
  <c r="D32" i="1"/>
  <c r="E32" i="1" s="1"/>
  <c r="D33" i="1"/>
  <c r="F33" i="1" s="1"/>
  <c r="D34" i="1"/>
  <c r="E34" i="1" s="1"/>
  <c r="D35" i="1"/>
  <c r="E35" i="1" s="1"/>
  <c r="D36" i="1"/>
  <c r="F36" i="1" s="1"/>
  <c r="D37" i="1"/>
  <c r="F37" i="1" s="1"/>
  <c r="D38" i="1"/>
  <c r="E38" i="1" s="1"/>
  <c r="D39" i="1"/>
  <c r="E39" i="1" s="1"/>
  <c r="D40" i="1"/>
  <c r="E40" i="1" s="1"/>
  <c r="D41" i="1"/>
  <c r="F41" i="1" s="1"/>
  <c r="D42" i="1"/>
  <c r="E42" i="1" s="1"/>
  <c r="D43" i="1"/>
  <c r="E43" i="1" s="1"/>
  <c r="D44" i="1"/>
  <c r="E44" i="1" s="1"/>
  <c r="D45" i="1"/>
  <c r="F45" i="1" s="1"/>
  <c r="D46" i="1"/>
  <c r="E46" i="1" s="1"/>
  <c r="D47" i="1"/>
  <c r="E47" i="1" s="1"/>
  <c r="D48" i="1"/>
  <c r="E48" i="1" s="1"/>
  <c r="D2" i="1"/>
  <c r="F2" i="1" s="1"/>
  <c r="E29" i="1" l="1"/>
  <c r="E21" i="1"/>
  <c r="E45" i="1"/>
  <c r="E13" i="1"/>
  <c r="E37" i="1"/>
  <c r="E5" i="1"/>
  <c r="F44" i="1"/>
  <c r="F20" i="1"/>
  <c r="F12" i="1"/>
  <c r="E36" i="1"/>
  <c r="E28" i="1"/>
  <c r="E4" i="1"/>
  <c r="F43" i="1"/>
  <c r="F35" i="1"/>
  <c r="F27" i="1"/>
  <c r="F19" i="1"/>
  <c r="F11" i="1"/>
  <c r="E2" i="1"/>
  <c r="E41" i="1"/>
  <c r="E33" i="1"/>
  <c r="E25" i="1"/>
  <c r="E17" i="1"/>
  <c r="E9" i="1"/>
  <c r="F48" i="1"/>
  <c r="F40" i="1"/>
  <c r="F32" i="1"/>
  <c r="F24" i="1"/>
  <c r="F16" i="1"/>
  <c r="F8" i="1"/>
  <c r="F47" i="1"/>
  <c r="F39" i="1"/>
  <c r="F31" i="1"/>
  <c r="F23" i="1"/>
  <c r="F15" i="1"/>
  <c r="F7" i="1"/>
  <c r="E3" i="1"/>
  <c r="F46" i="1"/>
  <c r="F42" i="1"/>
  <c r="F38" i="1"/>
  <c r="F34" i="1"/>
  <c r="F30" i="1"/>
  <c r="F26" i="1"/>
  <c r="F22" i="1"/>
  <c r="F18" i="1"/>
  <c r="F14" i="1"/>
  <c r="F10" i="1"/>
  <c r="F6" i="1"/>
</calcChain>
</file>

<file path=xl/sharedStrings.xml><?xml version="1.0" encoding="utf-8"?>
<sst xmlns="http://schemas.openxmlformats.org/spreadsheetml/2006/main" count="76" uniqueCount="72">
  <si>
    <t>Gravité</t>
  </si>
  <si>
    <t>Probabilité</t>
  </si>
  <si>
    <t>Niveau de risque</t>
  </si>
  <si>
    <t>ASREP-Roasting</t>
  </si>
  <si>
    <t>Action sur la clé de registre Run</t>
  </si>
  <si>
    <t>Access LSASS Memory for Dump creation</t>
  </si>
  <si>
    <t>Check for High-Frequency C2 Communication</t>
  </si>
  <si>
    <t>Check for Periodic Beaconing Behavior</t>
  </si>
  <si>
    <t>Création ou modification de tâche planifiée</t>
  </si>
  <si>
    <t>Création service suspect</t>
  </si>
  <si>
    <t>Création tâche planifiée suspicieuse</t>
  </si>
  <si>
    <t>DUMP LSASS</t>
  </si>
  <si>
    <t>Detect Distributed Password Spray Attempts</t>
  </si>
  <si>
    <t>Dump LSASS via comsvcs</t>
  </si>
  <si>
    <t>Dump LSASS via procdump</t>
  </si>
  <si>
    <t>Internal Horizontal Port Scan</t>
  </si>
  <si>
    <t>Internal Vertical Port Scan</t>
  </si>
  <si>
    <t>Kerberoasting</t>
  </si>
  <si>
    <t>Linux Auditd Find Credentials From Password Managers</t>
  </si>
  <si>
    <t>Linux Auditd Find Credentials From Password Stores</t>
  </si>
  <si>
    <t>Linux Auditd Possible Access To Credential Files</t>
  </si>
  <si>
    <t>Linux Auditd Sudo Or Su Execution</t>
  </si>
  <si>
    <t>Linux Password looting</t>
  </si>
  <si>
    <t>Linux System Network Discovery</t>
  </si>
  <si>
    <t>Malware Registry Abuses</t>
  </si>
  <si>
    <t>Modification clé registre RUN</t>
  </si>
  <si>
    <t>Reg exe Manipulating Windows Services Registry Keys</t>
  </si>
  <si>
    <t>Registry Keys Used For Persistence</t>
  </si>
  <si>
    <t>Registry key modifications</t>
  </si>
  <si>
    <t>Rubeus Command Line Parameters</t>
  </si>
  <si>
    <t>Suspicious Linux Discovery Commands</t>
  </si>
  <si>
    <t>Test - Création de tâche planifiée Windows</t>
  </si>
  <si>
    <t>Utilisation de LSASS</t>
  </si>
  <si>
    <t>Windows AD Suspicious Attribute Modification</t>
  </si>
  <si>
    <t>Windows Hidden Schedule Task Settings</t>
  </si>
  <si>
    <t>Windows Possible Credential Dumping</t>
  </si>
  <si>
    <t>Windows PowerShell ScheduleTask</t>
  </si>
  <si>
    <t>Windows Scheduled Task Created Via XML</t>
  </si>
  <si>
    <t>Windows Scheduled Task with Suspicious Command</t>
  </si>
  <si>
    <t>Windows Service Created with Suspicious Service Name2</t>
  </si>
  <si>
    <t>Windows Service Created with Suspicious Service Path</t>
  </si>
  <si>
    <t>Windows Service Creation Using Registry Entry</t>
  </si>
  <si>
    <t>cat /etc/passwd</t>
  </si>
  <si>
    <t>enumération</t>
  </si>
  <si>
    <t>Alerte</t>
  </si>
  <si>
    <t>Creation of LSASS Dump with Taskmgr</t>
  </si>
  <si>
    <t>Detection : Kerberos Pre-Authentication Flag Disabled with PowerShell</t>
  </si>
  <si>
    <t>Kerberoasting SPN request with RC4 encryption</t>
  </si>
  <si>
    <t>Scan réseau (port ou IP)</t>
  </si>
  <si>
    <t>Suspicious HTTP traffic indicative of beaconing</t>
  </si>
  <si>
    <t>Windows Terminating LSASS Process</t>
  </si>
  <si>
    <t>Criticité</t>
  </si>
  <si>
    <t>1 - 4</t>
  </si>
  <si>
    <t>5 - 8</t>
  </si>
  <si>
    <t>9 - 12</t>
  </si>
  <si>
    <t>13 - 16</t>
  </si>
  <si>
    <t xml:space="preserve">Niveau de risque </t>
  </si>
  <si>
    <t>severity_id</t>
  </si>
  <si>
    <t>Quel est l'impact sur le SI ?</t>
  </si>
  <si>
    <r>
      <t xml:space="preserve"> </t>
    </r>
    <r>
      <rPr>
        <b/>
        <sz val="11"/>
        <color theme="1"/>
        <rFont val="Aptos Narrow"/>
        <family val="2"/>
        <scheme val="minor"/>
      </rPr>
      <t>Critique</t>
    </r>
    <r>
      <rPr>
        <sz val="11"/>
        <color theme="1"/>
        <rFont val="Aptos Narrow"/>
        <family val="2"/>
        <scheme val="minor"/>
      </rPr>
      <t xml:space="preserve"> : Une attaque réussie peut suffire à compromettre toute l’organisation.</t>
    </r>
  </si>
  <si>
    <r>
      <rPr>
        <b/>
        <sz val="11"/>
        <color theme="1"/>
        <rFont val="Aptos Narrow"/>
        <family val="2"/>
        <scheme val="minor"/>
      </rPr>
      <t>Haut</t>
    </r>
    <r>
      <rPr>
        <sz val="11"/>
        <color theme="1"/>
        <rFont val="Aptos Narrow"/>
        <family val="2"/>
        <scheme val="minor"/>
      </rPr>
      <t xml:space="preserve"> : Activités ne compromettent pas immédiatement l’AD, mais sont typiquement utilisées par les attaquants pour se maintenir ou progresser.</t>
    </r>
  </si>
  <si>
    <r>
      <rPr>
        <b/>
        <sz val="11"/>
        <color theme="1"/>
        <rFont val="Aptos Narrow"/>
        <family val="2"/>
        <scheme val="minor"/>
      </rPr>
      <t>Moyenne</t>
    </r>
    <r>
      <rPr>
        <sz val="11"/>
        <color theme="1"/>
        <rFont val="Aptos Narrow"/>
        <family val="2"/>
        <scheme val="minor"/>
      </rPr>
      <t xml:space="preserve"> : Actions potentiellement malveillantes mais à impact limité. Une compromission est possible mais l’effet immédiat est limité.</t>
    </r>
  </si>
  <si>
    <r>
      <rPr>
        <b/>
        <sz val="11"/>
        <color theme="1"/>
        <rFont val="Aptos Narrow"/>
        <family val="2"/>
        <scheme val="minor"/>
      </rPr>
      <t>Faible</t>
    </r>
    <r>
      <rPr>
        <sz val="11"/>
        <color theme="1"/>
        <rFont val="Aptos Narrow"/>
        <family val="2"/>
        <scheme val="minor"/>
      </rPr>
      <t xml:space="preserve"> : Activités très communes ou peu dangereuses seules</t>
    </r>
  </si>
  <si>
    <t>FAIBLE</t>
  </si>
  <si>
    <t>MOYEN</t>
  </si>
  <si>
    <t>ELEVE</t>
  </si>
  <si>
    <t>CRITIQUE</t>
  </si>
  <si>
    <r>
      <rPr>
        <b/>
        <sz val="11"/>
        <color theme="1"/>
        <rFont val="Aptos Narrow"/>
        <family val="2"/>
        <scheme val="minor"/>
      </rPr>
      <t xml:space="preserve">Très faible </t>
    </r>
    <r>
      <rPr>
        <sz val="11"/>
        <color theme="1"/>
        <rFont val="Aptos Narrow"/>
        <family val="2"/>
        <scheme val="minor"/>
      </rPr>
      <t>: Test, faux positif ou événement d'entreprise</t>
    </r>
  </si>
  <si>
    <r>
      <rPr>
        <b/>
        <sz val="11"/>
        <color theme="1"/>
        <rFont val="Aptos Narrow"/>
        <family val="2"/>
        <scheme val="minor"/>
      </rPr>
      <t>Faible</t>
    </r>
    <r>
      <rPr>
        <sz val="11"/>
        <color theme="1"/>
        <rFont val="Aptos Narrow"/>
        <family val="2"/>
        <scheme val="minor"/>
      </rPr>
      <t xml:space="preserve"> : L’événement peut se produire mais reste peu fréquent. Souvent un outil légitime peut générer cette alerte.</t>
    </r>
  </si>
  <si>
    <r>
      <rPr>
        <b/>
        <sz val="11"/>
        <color theme="1"/>
        <rFont val="Aptos Narrow"/>
        <family val="2"/>
        <scheme val="minor"/>
      </rPr>
      <t>Modérée</t>
    </r>
    <r>
      <rPr>
        <sz val="11"/>
        <color theme="1"/>
        <rFont val="Aptos Narrow"/>
        <family val="2"/>
        <scheme val="minor"/>
      </rPr>
      <t xml:space="preserve"> : L’événement se produit régulièrement dans le contexte d’attaque, mais pas forcément partout.</t>
    </r>
  </si>
  <si>
    <r>
      <rPr>
        <b/>
        <sz val="11"/>
        <color theme="1"/>
        <rFont val="Aptos Narrow"/>
        <family val="2"/>
        <scheme val="minor"/>
      </rPr>
      <t>Très probable</t>
    </r>
    <r>
      <rPr>
        <sz val="11"/>
        <color theme="1"/>
        <rFont val="Aptos Narrow"/>
        <family val="2"/>
        <scheme val="minor"/>
      </rPr>
      <t xml:space="preserve"> : L’événement est presque certain ou très courant en attaque.</t>
    </r>
  </si>
  <si>
    <t>Quel est la vraisemblance qu’un événement détecté se produise réellement et corresponde à une activité malveillante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</si>
</sst>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6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1C7C-5708-4CF4-9ED7-690DCEA9D2BD}">
  <dimension ref="A1:L48"/>
  <sheetViews>
    <sheetView topLeftCell="A15" zoomScale="85" zoomScaleNormal="85" workbookViewId="0">
      <selection activeCell="F1" sqref="F1:F1048576"/>
    </sheetView>
  </sheetViews>
  <sheetFormatPr baseColWidth="10" defaultRowHeight="15" x14ac:dyDescent="0.25"/>
  <cols>
    <col min="1" max="1" width="41.28515625" style="6" customWidth="1"/>
    <col min="2" max="3" width="11.42578125" style="1"/>
    <col min="4" max="4" width="15.7109375" style="1" bestFit="1" customWidth="1"/>
    <col min="5" max="6" width="11.42578125" style="1"/>
    <col min="9" max="16384" width="11.42578125" style="1"/>
  </cols>
  <sheetData>
    <row r="1" spans="1:12" x14ac:dyDescent="0.25">
      <c r="A1" s="7" t="s">
        <v>44</v>
      </c>
      <c r="B1" s="7" t="s">
        <v>0</v>
      </c>
      <c r="C1" s="7" t="s">
        <v>1</v>
      </c>
      <c r="D1" s="8" t="s">
        <v>2</v>
      </c>
      <c r="E1" s="7" t="s">
        <v>51</v>
      </c>
      <c r="F1" s="9" t="s">
        <v>57</v>
      </c>
      <c r="H1" s="7" t="s">
        <v>51</v>
      </c>
      <c r="I1" s="9" t="s">
        <v>63</v>
      </c>
      <c r="J1" s="9" t="s">
        <v>64</v>
      </c>
      <c r="K1" s="9" t="s">
        <v>65</v>
      </c>
      <c r="L1" s="9" t="s">
        <v>66</v>
      </c>
    </row>
    <row r="2" spans="1:12" x14ac:dyDescent="0.25">
      <c r="A2" s="10" t="s">
        <v>3</v>
      </c>
      <c r="B2" s="11">
        <v>4</v>
      </c>
      <c r="C2" s="11">
        <v>4</v>
      </c>
      <c r="D2" s="9">
        <f>B2*C2</f>
        <v>16</v>
      </c>
      <c r="E2" s="9" t="str">
        <f>IF(D2&lt;=4,$I$1,IF(D2&lt;=8,$J$1,IF(D2&lt;=12,$K$1,$L$1)))</f>
        <v>CRITIQUE</v>
      </c>
      <c r="F2" s="9">
        <f>IF(D2&lt;=4,$I$3,IF(D2&lt;=8,$J$3,IF(D2&lt;=12,$K$3,$L$3)))</f>
        <v>6</v>
      </c>
      <c r="H2" s="12" t="s">
        <v>56</v>
      </c>
      <c r="I2" s="13" t="s">
        <v>52</v>
      </c>
      <c r="J2" s="14" t="s">
        <v>53</v>
      </c>
      <c r="K2" s="14" t="s">
        <v>54</v>
      </c>
      <c r="L2" s="14" t="s">
        <v>55</v>
      </c>
    </row>
    <row r="3" spans="1:12" x14ac:dyDescent="0.25">
      <c r="A3" s="10" t="s">
        <v>5</v>
      </c>
      <c r="B3" s="11">
        <v>4</v>
      </c>
      <c r="C3" s="11">
        <v>4</v>
      </c>
      <c r="D3" s="9">
        <f t="shared" ref="D3:D48" si="0">B3*C3</f>
        <v>16</v>
      </c>
      <c r="E3" s="9" t="str">
        <f t="shared" ref="E3:E48" si="1">IF(D3&lt;=4,$I$1,IF(D3&lt;=8,$J$1,IF(D3&lt;=12,$K$1,$L$1)))</f>
        <v>CRITIQUE</v>
      </c>
      <c r="F3" s="9">
        <f t="shared" ref="F3:F48" si="2">IF(D3&lt;=4,$I$3,IF(D3&lt;=8,$J$3,IF(D3&lt;=12,$K$3,$L$3)))</f>
        <v>6</v>
      </c>
      <c r="H3" s="12" t="s">
        <v>57</v>
      </c>
      <c r="I3" s="9">
        <v>4</v>
      </c>
      <c r="J3" s="9">
        <v>1</v>
      </c>
      <c r="K3" s="9">
        <v>5</v>
      </c>
      <c r="L3" s="9">
        <v>6</v>
      </c>
    </row>
    <row r="4" spans="1:12" x14ac:dyDescent="0.25">
      <c r="A4" s="10" t="s">
        <v>4</v>
      </c>
      <c r="B4" s="11">
        <v>2</v>
      </c>
      <c r="C4" s="11">
        <v>3</v>
      </c>
      <c r="D4" s="9">
        <f t="shared" si="0"/>
        <v>6</v>
      </c>
      <c r="E4" s="9" t="str">
        <f t="shared" si="1"/>
        <v>MOYEN</v>
      </c>
      <c r="F4" s="9">
        <f t="shared" si="2"/>
        <v>1</v>
      </c>
    </row>
    <row r="5" spans="1:12" x14ac:dyDescent="0.25">
      <c r="A5" s="10" t="s">
        <v>6</v>
      </c>
      <c r="B5" s="11">
        <v>4</v>
      </c>
      <c r="C5" s="11">
        <v>4</v>
      </c>
      <c r="D5" s="9">
        <f t="shared" si="0"/>
        <v>16</v>
      </c>
      <c r="E5" s="9" t="str">
        <f t="shared" si="1"/>
        <v>CRITIQUE</v>
      </c>
      <c r="F5" s="9">
        <f t="shared" si="2"/>
        <v>6</v>
      </c>
    </row>
    <row r="6" spans="1:12" x14ac:dyDescent="0.25">
      <c r="A6" s="10" t="s">
        <v>7</v>
      </c>
      <c r="B6" s="11">
        <v>4</v>
      </c>
      <c r="C6" s="11">
        <v>4</v>
      </c>
      <c r="D6" s="9">
        <f t="shared" si="0"/>
        <v>16</v>
      </c>
      <c r="E6" s="9" t="str">
        <f t="shared" si="1"/>
        <v>CRITIQUE</v>
      </c>
      <c r="F6" s="9">
        <f t="shared" si="2"/>
        <v>6</v>
      </c>
    </row>
    <row r="7" spans="1:12" x14ac:dyDescent="0.25">
      <c r="A7" s="10" t="s">
        <v>45</v>
      </c>
      <c r="B7" s="11">
        <v>4</v>
      </c>
      <c r="C7" s="11">
        <v>4</v>
      </c>
      <c r="D7" s="9">
        <f t="shared" si="0"/>
        <v>16</v>
      </c>
      <c r="E7" s="9" t="str">
        <f t="shared" si="1"/>
        <v>CRITIQUE</v>
      </c>
      <c r="F7" s="9">
        <f t="shared" si="2"/>
        <v>6</v>
      </c>
    </row>
    <row r="8" spans="1:12" x14ac:dyDescent="0.25">
      <c r="A8" s="10" t="s">
        <v>8</v>
      </c>
      <c r="B8" s="11">
        <v>3</v>
      </c>
      <c r="C8" s="11">
        <v>2</v>
      </c>
      <c r="D8" s="9">
        <f t="shared" si="0"/>
        <v>6</v>
      </c>
      <c r="E8" s="9" t="str">
        <f t="shared" si="1"/>
        <v>MOYEN</v>
      </c>
      <c r="F8" s="9">
        <f t="shared" si="2"/>
        <v>1</v>
      </c>
    </row>
    <row r="9" spans="1:12" x14ac:dyDescent="0.25">
      <c r="A9" s="10" t="s">
        <v>9</v>
      </c>
      <c r="B9" s="11">
        <v>3</v>
      </c>
      <c r="C9" s="11">
        <v>4</v>
      </c>
      <c r="D9" s="9">
        <f t="shared" si="0"/>
        <v>12</v>
      </c>
      <c r="E9" s="9" t="str">
        <f t="shared" si="1"/>
        <v>ELEVE</v>
      </c>
      <c r="F9" s="9">
        <f t="shared" si="2"/>
        <v>5</v>
      </c>
    </row>
    <row r="10" spans="1:12" x14ac:dyDescent="0.25">
      <c r="A10" s="10" t="s">
        <v>10</v>
      </c>
      <c r="B10" s="11">
        <v>3</v>
      </c>
      <c r="C10" s="11">
        <v>4</v>
      </c>
      <c r="D10" s="9">
        <f t="shared" si="0"/>
        <v>12</v>
      </c>
      <c r="E10" s="9" t="str">
        <f t="shared" si="1"/>
        <v>ELEVE</v>
      </c>
      <c r="F10" s="9">
        <f t="shared" si="2"/>
        <v>5</v>
      </c>
    </row>
    <row r="11" spans="1:12" x14ac:dyDescent="0.25">
      <c r="A11" s="10" t="s">
        <v>11</v>
      </c>
      <c r="B11" s="11">
        <v>4</v>
      </c>
      <c r="C11" s="11">
        <v>4</v>
      </c>
      <c r="D11" s="9">
        <f t="shared" si="0"/>
        <v>16</v>
      </c>
      <c r="E11" s="9" t="str">
        <f t="shared" si="1"/>
        <v>CRITIQUE</v>
      </c>
      <c r="F11" s="9">
        <f t="shared" si="2"/>
        <v>6</v>
      </c>
    </row>
    <row r="12" spans="1:12" x14ac:dyDescent="0.25">
      <c r="A12" s="10" t="s">
        <v>12</v>
      </c>
      <c r="B12" s="11">
        <v>4</v>
      </c>
      <c r="C12" s="11">
        <v>4</v>
      </c>
      <c r="D12" s="9">
        <f t="shared" si="0"/>
        <v>16</v>
      </c>
      <c r="E12" s="9" t="str">
        <f t="shared" si="1"/>
        <v>CRITIQUE</v>
      </c>
      <c r="F12" s="9">
        <f t="shared" si="2"/>
        <v>6</v>
      </c>
    </row>
    <row r="13" spans="1:12" ht="30" x14ac:dyDescent="0.25">
      <c r="A13" s="10" t="s">
        <v>46</v>
      </c>
      <c r="B13" s="11">
        <v>4</v>
      </c>
      <c r="C13" s="11">
        <v>3</v>
      </c>
      <c r="D13" s="9">
        <f t="shared" si="0"/>
        <v>12</v>
      </c>
      <c r="E13" s="9" t="str">
        <f t="shared" si="1"/>
        <v>ELEVE</v>
      </c>
      <c r="F13" s="9">
        <f t="shared" si="2"/>
        <v>5</v>
      </c>
    </row>
    <row r="14" spans="1:12" x14ac:dyDescent="0.25">
      <c r="A14" s="10" t="s">
        <v>13</v>
      </c>
      <c r="B14" s="11">
        <v>4</v>
      </c>
      <c r="C14" s="11">
        <v>4</v>
      </c>
      <c r="D14" s="9">
        <f t="shared" si="0"/>
        <v>16</v>
      </c>
      <c r="E14" s="9" t="str">
        <f t="shared" si="1"/>
        <v>CRITIQUE</v>
      </c>
      <c r="F14" s="9">
        <f t="shared" si="2"/>
        <v>6</v>
      </c>
    </row>
    <row r="15" spans="1:12" x14ac:dyDescent="0.25">
      <c r="A15" s="10" t="s">
        <v>14</v>
      </c>
      <c r="B15" s="11">
        <v>4</v>
      </c>
      <c r="C15" s="11">
        <v>4</v>
      </c>
      <c r="D15" s="9">
        <f t="shared" si="0"/>
        <v>16</v>
      </c>
      <c r="E15" s="9" t="str">
        <f t="shared" si="1"/>
        <v>CRITIQUE</v>
      </c>
      <c r="F15" s="9">
        <f t="shared" si="2"/>
        <v>6</v>
      </c>
    </row>
    <row r="16" spans="1:12" x14ac:dyDescent="0.25">
      <c r="A16" s="10" t="s">
        <v>15</v>
      </c>
      <c r="B16" s="11">
        <v>2</v>
      </c>
      <c r="C16" s="11">
        <v>2</v>
      </c>
      <c r="D16" s="9">
        <f t="shared" si="0"/>
        <v>4</v>
      </c>
      <c r="E16" s="9" t="str">
        <f t="shared" si="1"/>
        <v>FAIBLE</v>
      </c>
      <c r="F16" s="9">
        <f t="shared" si="2"/>
        <v>4</v>
      </c>
    </row>
    <row r="17" spans="1:6" x14ac:dyDescent="0.25">
      <c r="A17" s="10" t="s">
        <v>16</v>
      </c>
      <c r="B17" s="11">
        <v>3</v>
      </c>
      <c r="C17" s="11">
        <v>2</v>
      </c>
      <c r="D17" s="9">
        <f t="shared" si="0"/>
        <v>6</v>
      </c>
      <c r="E17" s="9" t="str">
        <f t="shared" si="1"/>
        <v>MOYEN</v>
      </c>
      <c r="F17" s="9">
        <f t="shared" si="2"/>
        <v>1</v>
      </c>
    </row>
    <row r="18" spans="1:6" x14ac:dyDescent="0.25">
      <c r="A18" s="10" t="s">
        <v>17</v>
      </c>
      <c r="B18" s="11">
        <v>4</v>
      </c>
      <c r="C18" s="11">
        <v>4</v>
      </c>
      <c r="D18" s="9">
        <f t="shared" si="0"/>
        <v>16</v>
      </c>
      <c r="E18" s="9" t="str">
        <f t="shared" si="1"/>
        <v>CRITIQUE</v>
      </c>
      <c r="F18" s="9">
        <f t="shared" si="2"/>
        <v>6</v>
      </c>
    </row>
    <row r="19" spans="1:6" ht="30" x14ac:dyDescent="0.25">
      <c r="A19" s="10" t="s">
        <v>47</v>
      </c>
      <c r="B19" s="11">
        <v>4</v>
      </c>
      <c r="C19" s="11">
        <v>4</v>
      </c>
      <c r="D19" s="9">
        <f t="shared" si="0"/>
        <v>16</v>
      </c>
      <c r="E19" s="9" t="str">
        <f t="shared" si="1"/>
        <v>CRITIQUE</v>
      </c>
      <c r="F19" s="9">
        <f t="shared" si="2"/>
        <v>6</v>
      </c>
    </row>
    <row r="20" spans="1:6" ht="30" x14ac:dyDescent="0.25">
      <c r="A20" s="10" t="s">
        <v>18</v>
      </c>
      <c r="B20" s="11">
        <v>4</v>
      </c>
      <c r="C20" s="11">
        <v>3</v>
      </c>
      <c r="D20" s="9">
        <f t="shared" si="0"/>
        <v>12</v>
      </c>
      <c r="E20" s="9" t="str">
        <f t="shared" si="1"/>
        <v>ELEVE</v>
      </c>
      <c r="F20" s="9">
        <f t="shared" si="2"/>
        <v>5</v>
      </c>
    </row>
    <row r="21" spans="1:6" ht="30" x14ac:dyDescent="0.25">
      <c r="A21" s="10" t="s">
        <v>19</v>
      </c>
      <c r="B21" s="11">
        <v>4</v>
      </c>
      <c r="C21" s="11">
        <v>3</v>
      </c>
      <c r="D21" s="9">
        <f t="shared" si="0"/>
        <v>12</v>
      </c>
      <c r="E21" s="9" t="str">
        <f t="shared" si="1"/>
        <v>ELEVE</v>
      </c>
      <c r="F21" s="9">
        <f t="shared" si="2"/>
        <v>5</v>
      </c>
    </row>
    <row r="22" spans="1:6" ht="30" x14ac:dyDescent="0.25">
      <c r="A22" s="10" t="s">
        <v>20</v>
      </c>
      <c r="B22" s="11">
        <v>4</v>
      </c>
      <c r="C22" s="11">
        <v>3</v>
      </c>
      <c r="D22" s="9">
        <f t="shared" si="0"/>
        <v>12</v>
      </c>
      <c r="E22" s="9" t="str">
        <f t="shared" si="1"/>
        <v>ELEVE</v>
      </c>
      <c r="F22" s="9">
        <f t="shared" si="2"/>
        <v>5</v>
      </c>
    </row>
    <row r="23" spans="1:6" x14ac:dyDescent="0.25">
      <c r="A23" s="10" t="s">
        <v>21</v>
      </c>
      <c r="B23" s="11">
        <v>2</v>
      </c>
      <c r="C23" s="11">
        <v>2</v>
      </c>
      <c r="D23" s="9">
        <f t="shared" si="0"/>
        <v>4</v>
      </c>
      <c r="E23" s="9" t="str">
        <f t="shared" si="1"/>
        <v>FAIBLE</v>
      </c>
      <c r="F23" s="9">
        <f t="shared" si="2"/>
        <v>4</v>
      </c>
    </row>
    <row r="24" spans="1:6" x14ac:dyDescent="0.25">
      <c r="A24" s="10" t="s">
        <v>22</v>
      </c>
      <c r="B24" s="11">
        <v>4</v>
      </c>
      <c r="C24" s="11">
        <v>3</v>
      </c>
      <c r="D24" s="9">
        <f t="shared" si="0"/>
        <v>12</v>
      </c>
      <c r="E24" s="9" t="str">
        <f t="shared" si="1"/>
        <v>ELEVE</v>
      </c>
      <c r="F24" s="9">
        <f t="shared" si="2"/>
        <v>5</v>
      </c>
    </row>
    <row r="25" spans="1:6" x14ac:dyDescent="0.25">
      <c r="A25" s="10" t="s">
        <v>23</v>
      </c>
      <c r="B25" s="11">
        <v>2</v>
      </c>
      <c r="C25" s="11">
        <v>2</v>
      </c>
      <c r="D25" s="9">
        <f t="shared" si="0"/>
        <v>4</v>
      </c>
      <c r="E25" s="9" t="str">
        <f t="shared" si="1"/>
        <v>FAIBLE</v>
      </c>
      <c r="F25" s="9">
        <f t="shared" si="2"/>
        <v>4</v>
      </c>
    </row>
    <row r="26" spans="1:6" x14ac:dyDescent="0.25">
      <c r="A26" s="10" t="s">
        <v>24</v>
      </c>
      <c r="B26" s="11">
        <v>3</v>
      </c>
      <c r="C26" s="11">
        <v>3</v>
      </c>
      <c r="D26" s="9">
        <f t="shared" si="0"/>
        <v>9</v>
      </c>
      <c r="E26" s="9" t="str">
        <f t="shared" si="1"/>
        <v>ELEVE</v>
      </c>
      <c r="F26" s="9">
        <f t="shared" si="2"/>
        <v>5</v>
      </c>
    </row>
    <row r="27" spans="1:6" x14ac:dyDescent="0.25">
      <c r="A27" s="10" t="s">
        <v>25</v>
      </c>
      <c r="B27" s="11">
        <v>2</v>
      </c>
      <c r="C27" s="11">
        <v>3</v>
      </c>
      <c r="D27" s="9">
        <f t="shared" si="0"/>
        <v>6</v>
      </c>
      <c r="E27" s="9" t="str">
        <f t="shared" si="1"/>
        <v>MOYEN</v>
      </c>
      <c r="F27" s="9">
        <f t="shared" si="2"/>
        <v>1</v>
      </c>
    </row>
    <row r="28" spans="1:6" ht="30" x14ac:dyDescent="0.25">
      <c r="A28" s="10" t="s">
        <v>26</v>
      </c>
      <c r="B28" s="11">
        <v>3</v>
      </c>
      <c r="C28" s="11">
        <v>4</v>
      </c>
      <c r="D28" s="9">
        <f t="shared" si="0"/>
        <v>12</v>
      </c>
      <c r="E28" s="9" t="str">
        <f t="shared" si="1"/>
        <v>ELEVE</v>
      </c>
      <c r="F28" s="9">
        <f t="shared" si="2"/>
        <v>5</v>
      </c>
    </row>
    <row r="29" spans="1:6" x14ac:dyDescent="0.25">
      <c r="A29" s="10" t="s">
        <v>27</v>
      </c>
      <c r="B29" s="11">
        <v>3</v>
      </c>
      <c r="C29" s="11">
        <v>4</v>
      </c>
      <c r="D29" s="9">
        <f t="shared" si="0"/>
        <v>12</v>
      </c>
      <c r="E29" s="9" t="str">
        <f t="shared" si="1"/>
        <v>ELEVE</v>
      </c>
      <c r="F29" s="9">
        <f t="shared" si="2"/>
        <v>5</v>
      </c>
    </row>
    <row r="30" spans="1:6" x14ac:dyDescent="0.25">
      <c r="A30" s="10" t="s">
        <v>28</v>
      </c>
      <c r="B30" s="11">
        <v>2</v>
      </c>
      <c r="C30" s="11">
        <v>3</v>
      </c>
      <c r="D30" s="9">
        <f t="shared" si="0"/>
        <v>6</v>
      </c>
      <c r="E30" s="9" t="str">
        <f t="shared" si="1"/>
        <v>MOYEN</v>
      </c>
      <c r="F30" s="9">
        <f t="shared" si="2"/>
        <v>1</v>
      </c>
    </row>
    <row r="31" spans="1:6" x14ac:dyDescent="0.25">
      <c r="A31" s="10" t="s">
        <v>29</v>
      </c>
      <c r="B31" s="11">
        <v>4</v>
      </c>
      <c r="C31" s="11">
        <v>4</v>
      </c>
      <c r="D31" s="9">
        <f t="shared" si="0"/>
        <v>16</v>
      </c>
      <c r="E31" s="9" t="str">
        <f t="shared" si="1"/>
        <v>CRITIQUE</v>
      </c>
      <c r="F31" s="9">
        <f t="shared" si="2"/>
        <v>6</v>
      </c>
    </row>
    <row r="32" spans="1:6" x14ac:dyDescent="0.25">
      <c r="A32" s="10" t="s">
        <v>48</v>
      </c>
      <c r="B32" s="11">
        <v>2</v>
      </c>
      <c r="C32" s="11">
        <v>2</v>
      </c>
      <c r="D32" s="9">
        <f t="shared" si="0"/>
        <v>4</v>
      </c>
      <c r="E32" s="9" t="str">
        <f t="shared" si="1"/>
        <v>FAIBLE</v>
      </c>
      <c r="F32" s="9">
        <f t="shared" si="2"/>
        <v>4</v>
      </c>
    </row>
    <row r="33" spans="1:6" ht="30" x14ac:dyDescent="0.25">
      <c r="A33" s="10" t="s">
        <v>49</v>
      </c>
      <c r="B33" s="11">
        <v>4</v>
      </c>
      <c r="C33" s="11">
        <v>4</v>
      </c>
      <c r="D33" s="9">
        <f t="shared" si="0"/>
        <v>16</v>
      </c>
      <c r="E33" s="9" t="str">
        <f t="shared" si="1"/>
        <v>CRITIQUE</v>
      </c>
      <c r="F33" s="9">
        <f t="shared" si="2"/>
        <v>6</v>
      </c>
    </row>
    <row r="34" spans="1:6" x14ac:dyDescent="0.25">
      <c r="A34" s="10" t="s">
        <v>30</v>
      </c>
      <c r="B34" s="11">
        <v>2</v>
      </c>
      <c r="C34" s="11">
        <v>2</v>
      </c>
      <c r="D34" s="9">
        <f t="shared" si="0"/>
        <v>4</v>
      </c>
      <c r="E34" s="9" t="str">
        <f t="shared" si="1"/>
        <v>FAIBLE</v>
      </c>
      <c r="F34" s="9">
        <f t="shared" si="2"/>
        <v>4</v>
      </c>
    </row>
    <row r="35" spans="1:6" x14ac:dyDescent="0.25">
      <c r="A35" s="10" t="s">
        <v>31</v>
      </c>
      <c r="B35" s="11">
        <v>1</v>
      </c>
      <c r="C35" s="11">
        <v>1</v>
      </c>
      <c r="D35" s="9">
        <f t="shared" si="0"/>
        <v>1</v>
      </c>
      <c r="E35" s="9" t="str">
        <f t="shared" si="1"/>
        <v>FAIBLE</v>
      </c>
      <c r="F35" s="9">
        <f t="shared" si="2"/>
        <v>4</v>
      </c>
    </row>
    <row r="36" spans="1:6" x14ac:dyDescent="0.25">
      <c r="A36" s="10" t="s">
        <v>32</v>
      </c>
      <c r="B36" s="11">
        <v>4</v>
      </c>
      <c r="C36" s="11">
        <v>4</v>
      </c>
      <c r="D36" s="9">
        <f t="shared" si="0"/>
        <v>16</v>
      </c>
      <c r="E36" s="9" t="str">
        <f t="shared" si="1"/>
        <v>CRITIQUE</v>
      </c>
      <c r="F36" s="9">
        <f t="shared" si="2"/>
        <v>6</v>
      </c>
    </row>
    <row r="37" spans="1:6" ht="30" x14ac:dyDescent="0.25">
      <c r="A37" s="10" t="s">
        <v>33</v>
      </c>
      <c r="B37" s="11">
        <v>4</v>
      </c>
      <c r="C37" s="11">
        <v>3</v>
      </c>
      <c r="D37" s="9">
        <f t="shared" si="0"/>
        <v>12</v>
      </c>
      <c r="E37" s="9" t="str">
        <f t="shared" si="1"/>
        <v>ELEVE</v>
      </c>
      <c r="F37" s="9">
        <f t="shared" si="2"/>
        <v>5</v>
      </c>
    </row>
    <row r="38" spans="1:6" x14ac:dyDescent="0.25">
      <c r="A38" s="10" t="s">
        <v>34</v>
      </c>
      <c r="B38" s="11">
        <v>3</v>
      </c>
      <c r="C38" s="11">
        <v>3</v>
      </c>
      <c r="D38" s="9">
        <f t="shared" si="0"/>
        <v>9</v>
      </c>
      <c r="E38" s="9" t="str">
        <f t="shared" si="1"/>
        <v>ELEVE</v>
      </c>
      <c r="F38" s="9">
        <f t="shared" si="2"/>
        <v>5</v>
      </c>
    </row>
    <row r="39" spans="1:6" x14ac:dyDescent="0.25">
      <c r="A39" s="10" t="s">
        <v>35</v>
      </c>
      <c r="B39" s="11">
        <v>4</v>
      </c>
      <c r="C39" s="11">
        <v>4</v>
      </c>
      <c r="D39" s="9">
        <f t="shared" si="0"/>
        <v>16</v>
      </c>
      <c r="E39" s="9" t="str">
        <f t="shared" si="1"/>
        <v>CRITIQUE</v>
      </c>
      <c r="F39" s="9">
        <f t="shared" si="2"/>
        <v>6</v>
      </c>
    </row>
    <row r="40" spans="1:6" x14ac:dyDescent="0.25">
      <c r="A40" s="10" t="s">
        <v>36</v>
      </c>
      <c r="B40" s="11">
        <v>3</v>
      </c>
      <c r="C40" s="11">
        <v>3</v>
      </c>
      <c r="D40" s="9">
        <f t="shared" si="0"/>
        <v>9</v>
      </c>
      <c r="E40" s="9" t="str">
        <f t="shared" si="1"/>
        <v>ELEVE</v>
      </c>
      <c r="F40" s="9">
        <f t="shared" si="2"/>
        <v>5</v>
      </c>
    </row>
    <row r="41" spans="1:6" x14ac:dyDescent="0.25">
      <c r="A41" s="10" t="s">
        <v>37</v>
      </c>
      <c r="B41" s="11">
        <v>3</v>
      </c>
      <c r="C41" s="11">
        <v>3</v>
      </c>
      <c r="D41" s="9">
        <f t="shared" si="0"/>
        <v>9</v>
      </c>
      <c r="E41" s="9" t="str">
        <f t="shared" si="1"/>
        <v>ELEVE</v>
      </c>
      <c r="F41" s="9">
        <f t="shared" si="2"/>
        <v>5</v>
      </c>
    </row>
    <row r="42" spans="1:6" ht="30" x14ac:dyDescent="0.25">
      <c r="A42" s="10" t="s">
        <v>38</v>
      </c>
      <c r="B42" s="11">
        <v>3</v>
      </c>
      <c r="C42" s="11">
        <v>3</v>
      </c>
      <c r="D42" s="9">
        <f t="shared" si="0"/>
        <v>9</v>
      </c>
      <c r="E42" s="9" t="str">
        <f t="shared" si="1"/>
        <v>ELEVE</v>
      </c>
      <c r="F42" s="9">
        <f t="shared" si="2"/>
        <v>5</v>
      </c>
    </row>
    <row r="43" spans="1:6" ht="30" x14ac:dyDescent="0.25">
      <c r="A43" s="10" t="s">
        <v>39</v>
      </c>
      <c r="B43" s="11">
        <v>3</v>
      </c>
      <c r="C43" s="11">
        <v>3</v>
      </c>
      <c r="D43" s="9">
        <f t="shared" si="0"/>
        <v>9</v>
      </c>
      <c r="E43" s="9" t="str">
        <f t="shared" si="1"/>
        <v>ELEVE</v>
      </c>
      <c r="F43" s="9">
        <f t="shared" si="2"/>
        <v>5</v>
      </c>
    </row>
    <row r="44" spans="1:6" ht="30" x14ac:dyDescent="0.25">
      <c r="A44" s="10" t="s">
        <v>40</v>
      </c>
      <c r="B44" s="11">
        <v>3</v>
      </c>
      <c r="C44" s="11">
        <v>3</v>
      </c>
      <c r="D44" s="9">
        <f t="shared" si="0"/>
        <v>9</v>
      </c>
      <c r="E44" s="9" t="str">
        <f t="shared" si="1"/>
        <v>ELEVE</v>
      </c>
      <c r="F44" s="9">
        <f t="shared" si="2"/>
        <v>5</v>
      </c>
    </row>
    <row r="45" spans="1:6" ht="30" x14ac:dyDescent="0.25">
      <c r="A45" s="10" t="s">
        <v>41</v>
      </c>
      <c r="B45" s="11">
        <v>3</v>
      </c>
      <c r="C45" s="11">
        <v>3</v>
      </c>
      <c r="D45" s="9">
        <f t="shared" si="0"/>
        <v>9</v>
      </c>
      <c r="E45" s="9" t="str">
        <f t="shared" si="1"/>
        <v>ELEVE</v>
      </c>
      <c r="F45" s="9">
        <f t="shared" si="2"/>
        <v>5</v>
      </c>
    </row>
    <row r="46" spans="1:6" x14ac:dyDescent="0.25">
      <c r="A46" s="10" t="s">
        <v>50</v>
      </c>
      <c r="B46" s="11">
        <v>4</v>
      </c>
      <c r="C46" s="11">
        <v>4</v>
      </c>
      <c r="D46" s="9">
        <f t="shared" si="0"/>
        <v>16</v>
      </c>
      <c r="E46" s="9" t="str">
        <f t="shared" si="1"/>
        <v>CRITIQUE</v>
      </c>
      <c r="F46" s="9">
        <f t="shared" si="2"/>
        <v>6</v>
      </c>
    </row>
    <row r="47" spans="1:6" x14ac:dyDescent="0.25">
      <c r="A47" s="10" t="s">
        <v>42</v>
      </c>
      <c r="B47" s="11">
        <v>1</v>
      </c>
      <c r="C47" s="11">
        <v>1</v>
      </c>
      <c r="D47" s="9">
        <f t="shared" si="0"/>
        <v>1</v>
      </c>
      <c r="E47" s="9" t="str">
        <f t="shared" si="1"/>
        <v>FAIBLE</v>
      </c>
      <c r="F47" s="9">
        <f t="shared" si="2"/>
        <v>4</v>
      </c>
    </row>
    <row r="48" spans="1:6" x14ac:dyDescent="0.25">
      <c r="A48" s="10" t="s">
        <v>43</v>
      </c>
      <c r="B48" s="11">
        <v>2</v>
      </c>
      <c r="C48" s="11">
        <v>2</v>
      </c>
      <c r="D48" s="9">
        <f t="shared" si="0"/>
        <v>4</v>
      </c>
      <c r="E48" s="9" t="str">
        <f t="shared" si="1"/>
        <v>FAIBLE</v>
      </c>
      <c r="F48" s="9">
        <f t="shared" si="2"/>
        <v>4</v>
      </c>
    </row>
  </sheetData>
  <conditionalFormatting sqref="B2:C48">
    <cfRule type="cellIs" dxfId="0" priority="8" operator="equal">
      <formula>4</formula>
    </cfRule>
    <cfRule type="cellIs" dxfId="1" priority="3" operator="equal">
      <formula>3</formula>
    </cfRule>
    <cfRule type="cellIs" dxfId="2" priority="2" operator="equal">
      <formula>2</formula>
    </cfRule>
    <cfRule type="cellIs" dxfId="3" priority="1" operator="equal">
      <formula>1</formula>
    </cfRule>
  </conditionalFormatting>
  <conditionalFormatting sqref="D1:D1048576">
    <cfRule type="cellIs" dxfId="7" priority="7" operator="between">
      <formula>13</formula>
      <formula>16</formula>
    </cfRule>
    <cfRule type="cellIs" dxfId="6" priority="6" operator="between">
      <formula>9</formula>
      <formula>12</formula>
    </cfRule>
    <cfRule type="cellIs" dxfId="5" priority="5" operator="between">
      <formula>5</formula>
      <formula>8</formula>
    </cfRule>
    <cfRule type="cellIs" dxfId="4" priority="4" operator="between">
      <formula>1</formula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3CF-1B60-44D2-B121-F024C41C90AE}">
  <dimension ref="A1:C48"/>
  <sheetViews>
    <sheetView tabSelected="1" workbookViewId="0">
      <selection activeCell="C4" sqref="C4"/>
    </sheetView>
  </sheetViews>
  <sheetFormatPr baseColWidth="10" defaultRowHeight="15" x14ac:dyDescent="0.25"/>
  <cols>
    <col min="1" max="1" width="27.42578125" style="15" customWidth="1"/>
    <col min="2" max="2" width="61.140625" style="2" customWidth="1"/>
  </cols>
  <sheetData>
    <row r="1" spans="1:3" x14ac:dyDescent="0.25">
      <c r="A1" s="7" t="s">
        <v>0</v>
      </c>
      <c r="B1" s="7" t="s">
        <v>58</v>
      </c>
      <c r="C1" s="4"/>
    </row>
    <row r="2" spans="1:3" ht="30" x14ac:dyDescent="0.25">
      <c r="A2" s="11">
        <v>1</v>
      </c>
      <c r="B2" s="16" t="s">
        <v>62</v>
      </c>
      <c r="C2" s="5"/>
    </row>
    <row r="3" spans="1:3" ht="45" x14ac:dyDescent="0.25">
      <c r="A3" s="11">
        <v>2</v>
      </c>
      <c r="B3" s="16" t="s">
        <v>61</v>
      </c>
      <c r="C3" s="5"/>
    </row>
    <row r="4" spans="1:3" ht="45" x14ac:dyDescent="0.25">
      <c r="A4" s="11">
        <v>3</v>
      </c>
      <c r="B4" s="16" t="s">
        <v>60</v>
      </c>
      <c r="C4" s="5"/>
    </row>
    <row r="5" spans="1:3" ht="30" x14ac:dyDescent="0.25">
      <c r="A5" s="11">
        <v>4</v>
      </c>
      <c r="B5" s="16" t="s">
        <v>59</v>
      </c>
      <c r="C5" s="5"/>
    </row>
    <row r="6" spans="1:3" x14ac:dyDescent="0.25">
      <c r="A6" s="3"/>
      <c r="B6" s="5"/>
      <c r="C6" s="5"/>
    </row>
    <row r="7" spans="1:3" ht="45" x14ac:dyDescent="0.25">
      <c r="A7" s="7" t="s">
        <v>1</v>
      </c>
      <c r="B7" s="7" t="s">
        <v>71</v>
      </c>
      <c r="C7" s="5"/>
    </row>
    <row r="8" spans="1:3" ht="30" x14ac:dyDescent="0.25">
      <c r="A8" s="11">
        <v>1</v>
      </c>
      <c r="B8" s="16" t="s">
        <v>67</v>
      </c>
      <c r="C8" s="5"/>
    </row>
    <row r="9" spans="1:3" ht="45" x14ac:dyDescent="0.25">
      <c r="A9" s="11">
        <v>2</v>
      </c>
      <c r="B9" s="16" t="s">
        <v>68</v>
      </c>
      <c r="C9" s="5"/>
    </row>
    <row r="10" spans="1:3" ht="30" x14ac:dyDescent="0.25">
      <c r="A10" s="11">
        <v>3</v>
      </c>
      <c r="B10" s="16" t="s">
        <v>69</v>
      </c>
      <c r="C10" s="5"/>
    </row>
    <row r="11" spans="1:3" ht="30" x14ac:dyDescent="0.25">
      <c r="A11" s="11">
        <v>4</v>
      </c>
      <c r="B11" s="17" t="s">
        <v>70</v>
      </c>
      <c r="C11" s="5"/>
    </row>
    <row r="12" spans="1:3" x14ac:dyDescent="0.25">
      <c r="A12" s="3"/>
      <c r="B12" s="5"/>
      <c r="C12" s="5"/>
    </row>
    <row r="13" spans="1:3" x14ac:dyDescent="0.25">
      <c r="A13" s="3"/>
      <c r="B13" s="5"/>
      <c r="C13" s="5"/>
    </row>
    <row r="14" spans="1:3" x14ac:dyDescent="0.25">
      <c r="A14" s="3"/>
      <c r="B14" s="5"/>
      <c r="C14" s="5"/>
    </row>
    <row r="15" spans="1:3" x14ac:dyDescent="0.25">
      <c r="A15" s="3"/>
      <c r="B15" s="5"/>
      <c r="C15" s="5"/>
    </row>
    <row r="16" spans="1:3" x14ac:dyDescent="0.25">
      <c r="A16" s="3"/>
      <c r="B16" s="5"/>
      <c r="C16" s="5"/>
    </row>
    <row r="17" spans="1:3" x14ac:dyDescent="0.25">
      <c r="A17" s="3"/>
      <c r="B17" s="5"/>
      <c r="C17" s="5"/>
    </row>
    <row r="18" spans="1:3" x14ac:dyDescent="0.25">
      <c r="A18" s="3"/>
      <c r="B18" s="5"/>
      <c r="C18" s="5"/>
    </row>
    <row r="19" spans="1:3" x14ac:dyDescent="0.25">
      <c r="A19" s="3"/>
      <c r="B19" s="5"/>
      <c r="C19" s="5"/>
    </row>
    <row r="20" spans="1:3" x14ac:dyDescent="0.25">
      <c r="A20" s="3"/>
      <c r="B20" s="5"/>
      <c r="C20" s="5"/>
    </row>
    <row r="21" spans="1:3" x14ac:dyDescent="0.25">
      <c r="A21" s="3"/>
      <c r="B21" s="5"/>
      <c r="C21" s="5"/>
    </row>
    <row r="22" spans="1:3" x14ac:dyDescent="0.25">
      <c r="A22" s="3"/>
      <c r="B22" s="5"/>
      <c r="C22" s="5"/>
    </row>
    <row r="23" spans="1:3" x14ac:dyDescent="0.25">
      <c r="A23" s="3"/>
      <c r="B23" s="5"/>
      <c r="C23" s="5"/>
    </row>
    <row r="24" spans="1:3" x14ac:dyDescent="0.25">
      <c r="A24" s="3"/>
      <c r="B24" s="5"/>
      <c r="C24" s="5"/>
    </row>
    <row r="25" spans="1:3" x14ac:dyDescent="0.25">
      <c r="A25" s="3"/>
      <c r="B25" s="5"/>
      <c r="C25" s="5"/>
    </row>
    <row r="26" spans="1:3" x14ac:dyDescent="0.25">
      <c r="A26" s="3"/>
      <c r="B26" s="5"/>
      <c r="C26" s="5"/>
    </row>
    <row r="27" spans="1:3" x14ac:dyDescent="0.25">
      <c r="A27" s="3"/>
      <c r="B27" s="5"/>
      <c r="C27" s="5"/>
    </row>
    <row r="28" spans="1:3" x14ac:dyDescent="0.25">
      <c r="A28" s="3"/>
      <c r="B28" s="5"/>
      <c r="C28" s="5"/>
    </row>
    <row r="29" spans="1:3" x14ac:dyDescent="0.25">
      <c r="A29" s="3"/>
      <c r="B29" s="5"/>
      <c r="C29" s="5"/>
    </row>
    <row r="30" spans="1:3" x14ac:dyDescent="0.25">
      <c r="A30" s="3"/>
      <c r="B30" s="5"/>
      <c r="C30" s="5"/>
    </row>
    <row r="31" spans="1:3" x14ac:dyDescent="0.25">
      <c r="A31" s="3"/>
      <c r="B31" s="5"/>
      <c r="C31" s="5"/>
    </row>
    <row r="32" spans="1:3" x14ac:dyDescent="0.25">
      <c r="A32" s="3"/>
      <c r="B32" s="5"/>
      <c r="C32" s="5"/>
    </row>
    <row r="33" spans="1:3" x14ac:dyDescent="0.25">
      <c r="A33" s="3"/>
      <c r="B33" s="5"/>
      <c r="C33" s="5"/>
    </row>
    <row r="34" spans="1:3" x14ac:dyDescent="0.25">
      <c r="A34" s="3"/>
      <c r="B34" s="5"/>
      <c r="C34" s="5"/>
    </row>
    <row r="35" spans="1:3" x14ac:dyDescent="0.25">
      <c r="A35" s="3"/>
      <c r="B35" s="5"/>
      <c r="C35" s="5"/>
    </row>
    <row r="36" spans="1:3" x14ac:dyDescent="0.25">
      <c r="A36" s="3"/>
      <c r="B36" s="5"/>
      <c r="C36" s="5"/>
    </row>
    <row r="37" spans="1:3" x14ac:dyDescent="0.25">
      <c r="A37" s="3"/>
      <c r="B37" s="5"/>
      <c r="C37" s="5"/>
    </row>
    <row r="38" spans="1:3" x14ac:dyDescent="0.25">
      <c r="A38" s="3"/>
      <c r="B38" s="5"/>
      <c r="C38" s="5"/>
    </row>
    <row r="39" spans="1:3" x14ac:dyDescent="0.25">
      <c r="A39" s="3"/>
      <c r="B39" s="5"/>
      <c r="C39" s="5"/>
    </row>
    <row r="40" spans="1:3" x14ac:dyDescent="0.25">
      <c r="A40" s="3"/>
      <c r="B40" s="5"/>
      <c r="C40" s="5"/>
    </row>
    <row r="41" spans="1:3" x14ac:dyDescent="0.25">
      <c r="A41" s="3"/>
      <c r="B41" s="5"/>
      <c r="C41" s="5"/>
    </row>
    <row r="42" spans="1:3" x14ac:dyDescent="0.25">
      <c r="A42" s="3"/>
      <c r="B42" s="5"/>
      <c r="C42" s="5"/>
    </row>
    <row r="43" spans="1:3" x14ac:dyDescent="0.25">
      <c r="A43" s="3"/>
      <c r="B43" s="5"/>
      <c r="C43" s="5"/>
    </row>
    <row r="44" spans="1:3" x14ac:dyDescent="0.25">
      <c r="A44" s="3"/>
      <c r="B44" s="5"/>
      <c r="C44" s="5"/>
    </row>
    <row r="45" spans="1:3" x14ac:dyDescent="0.25">
      <c r="A45" s="3"/>
      <c r="B45" s="5"/>
      <c r="C45" s="5"/>
    </row>
    <row r="46" spans="1:3" x14ac:dyDescent="0.25">
      <c r="A46" s="3"/>
      <c r="B46" s="5"/>
      <c r="C46" s="5"/>
    </row>
    <row r="47" spans="1:3" x14ac:dyDescent="0.25">
      <c r="A47" s="3"/>
      <c r="B47" s="5"/>
      <c r="C47" s="5"/>
    </row>
    <row r="48" spans="1:3" x14ac:dyDescent="0.25">
      <c r="A48" s="3"/>
      <c r="B48" s="5"/>
      <c r="C4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Matrice_criticite</vt:lpstr>
      <vt:lpstr>Lexique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Hameau</dc:creator>
  <cp:lastModifiedBy>Quentin Hameau</cp:lastModifiedBy>
  <dcterms:created xsi:type="dcterms:W3CDTF">2025-11-26T08:02:59Z</dcterms:created>
  <dcterms:modified xsi:type="dcterms:W3CDTF">2025-11-26T12:55:46Z</dcterms:modified>
</cp:coreProperties>
</file>